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" sheetId="1" r:id="rId5"/>
  </sheets>
  <definedNames/>
  <calcPr/>
</workbook>
</file>

<file path=xl/sharedStrings.xml><?xml version="1.0" encoding="utf-8"?>
<sst xmlns="http://schemas.openxmlformats.org/spreadsheetml/2006/main" count="67" uniqueCount="51">
  <si>
    <t>Definición del riesgo o problema</t>
  </si>
  <si>
    <t>Estimación</t>
  </si>
  <si>
    <t>Plan de mitigación</t>
  </si>
  <si>
    <t>ID</t>
  </si>
  <si>
    <t>Fecha de detección</t>
  </si>
  <si>
    <t>Riesgo o problema</t>
  </si>
  <si>
    <t>Detalle del riesgo o problema</t>
  </si>
  <si>
    <t>Estado</t>
  </si>
  <si>
    <t>Probabilidad de ocurrencia</t>
  </si>
  <si>
    <t>Impacto</t>
  </si>
  <si>
    <t>Frecuencia</t>
  </si>
  <si>
    <t>Total</t>
  </si>
  <si>
    <t>Acción de mitigación</t>
  </si>
  <si>
    <t>Responsable</t>
  </si>
  <si>
    <t>Retraso en la implementación del sistema</t>
  </si>
  <si>
    <t>El desarrollo puede sufrir retrasos debido a problemas técnicos, cambios en requisitos o falta de recursos humanos</t>
  </si>
  <si>
    <t>Abierto</t>
  </si>
  <si>
    <t>Alta</t>
  </si>
  <si>
    <t xml:space="preserve">Alta </t>
  </si>
  <si>
    <t>Implementar Scrum con iteraciones cortas para revisar avances y ajustar tareas. Contar con recursos de reserva.</t>
  </si>
  <si>
    <t>Jefe de proyecto</t>
  </si>
  <si>
    <t>Problemas de compatibilidad y rendimiento</t>
  </si>
  <si>
    <t>La plataforma puede presentar problemas de rendimiento en algunos dispositivos o navegadores.</t>
  </si>
  <si>
    <t>Realizar pruebas de carga y compatibilidad en diferentes entornos antes del lanzamiento</t>
  </si>
  <si>
    <t>Equipo de desarrollo</t>
  </si>
  <si>
    <t>Falta de adopción por parte de los usuarios</t>
  </si>
  <si>
    <t>Los estudiantes y docentes pueden resistirse a usar la plataforma debido a falta de capacitación o preferencia por métodos tradicionales.</t>
  </si>
  <si>
    <t>Problema</t>
  </si>
  <si>
    <t>Media</t>
  </si>
  <si>
    <t>Crear capacitaciones y campañas de sensibilización sobre los beneficios de la plataforma.</t>
  </si>
  <si>
    <t>Equipo de comunicación</t>
  </si>
  <si>
    <t>Incumplimiento de normativas de seguridad de datos</t>
  </si>
  <si>
    <t>Posibles vulnerabilidades en el sistema que comprometan la seguridad de la información de los usuarios.</t>
  </si>
  <si>
    <t>Implementar protocolos de seguridad robustos, como cifrado de datos y autenticación en dos pasos.</t>
  </si>
  <si>
    <t>Equipo de seguridad</t>
  </si>
  <si>
    <t>Fallas en la infraestructura tecnológica</t>
  </si>
  <si>
    <t>Problemas en servidores o bases de datos que provoquen caída del sistema.</t>
  </si>
  <si>
    <t>Deprecado</t>
  </si>
  <si>
    <t>Baja</t>
  </si>
  <si>
    <t>Implementar redundancia de servidores y monitoreo constante.</t>
  </si>
  <si>
    <t>Equipo de infraestructura</t>
  </si>
  <si>
    <t>Falta de financiamiento para mantenimiento a largo plazo</t>
  </si>
  <si>
    <t>Puede haber dificultades para mantener la plataforma actualizada y operativa después de su implementación inicial.</t>
  </si>
  <si>
    <t>Retirado</t>
  </si>
  <si>
    <t>Buscar financiamiento adicional mediante convenios con la universidad u otras instituciones.</t>
  </si>
  <si>
    <t>Dirección del proyecto</t>
  </si>
  <si>
    <t>Los estados reflejan la situación de cada riesgo:</t>
  </si>
  <si>
    <t>Abierto: Riesgos que deben ser monitoreados y controlados.</t>
  </si>
  <si>
    <t>Problema: Riesgos que ya se están manifestando (ejemplo: resistencia al cambio en los usuarios).</t>
  </si>
  <si>
    <t>Deprecado: Riesgo que se ha vuelto menos relevante.</t>
  </si>
  <si>
    <t>Retirado: Riesgo que ya no aplica.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</si>
</sst>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741B47"/>
      </left>
      <top style="thin">
        <color rgb="FF741B47"/>
      </top>
      <bottom style="thin">
        <color rgb="FF741B47"/>
      </bottom>
    </border>
    <border>
      <top style="thin">
        <color rgb="FF741B47"/>
      </top>
      <bottom style="thin">
        <color rgb="FF741B47"/>
      </bottom>
    </border>
    <border>
      <right style="thin">
        <color rgb="FF741B47"/>
      </right>
      <top style="thin">
        <color rgb="FF741B47"/>
      </top>
      <bottom style="thin">
        <color rgb="FF741B4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75"/>
    <col customWidth="1" min="3" max="3" width="43.38"/>
    <col customWidth="1" min="4" max="4" width="38.38"/>
    <col customWidth="1" min="6" max="6" width="24.38"/>
    <col customWidth="1" min="7" max="7" width="3.38"/>
    <col customWidth="1" min="10" max="10" width="4.25"/>
    <col customWidth="1" min="12" max="12" width="53.88"/>
    <col customWidth="1" min="13" max="13" width="26.13"/>
  </cols>
  <sheetData>
    <row r="1" ht="25.5" customHeight="1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2"/>
      <c r="J1" s="2"/>
      <c r="K1" s="3"/>
      <c r="L1" s="1" t="s">
        <v>2</v>
      </c>
      <c r="M1" s="3"/>
    </row>
    <row r="2" ht="31.5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4" t="s">
        <v>8</v>
      </c>
      <c r="G2" s="4"/>
      <c r="H2" s="4" t="s">
        <v>9</v>
      </c>
      <c r="I2" s="4" t="s">
        <v>10</v>
      </c>
      <c r="J2" s="4"/>
      <c r="K2" s="5" t="s">
        <v>11</v>
      </c>
      <c r="L2" s="4" t="s">
        <v>12</v>
      </c>
      <c r="M2" s="4" t="s">
        <v>13</v>
      </c>
    </row>
    <row r="3" ht="22.5" customHeight="1">
      <c r="A3" s="6">
        <v>1.0</v>
      </c>
      <c r="B3" s="7">
        <v>45731.0</v>
      </c>
      <c r="C3" s="8" t="s">
        <v>14</v>
      </c>
      <c r="D3" s="9" t="s">
        <v>15</v>
      </c>
      <c r="E3" s="8" t="s">
        <v>16</v>
      </c>
      <c r="F3" s="8" t="s">
        <v>17</v>
      </c>
      <c r="G3" s="10">
        <f t="shared" ref="G3:G8" si="1">IF(F3="ALTA",3,IF(F3="MEDIA",2,1))</f>
        <v>3</v>
      </c>
      <c r="H3" s="10" t="s">
        <v>17</v>
      </c>
      <c r="I3" s="11" t="s">
        <v>18</v>
      </c>
      <c r="J3" s="12">
        <f t="shared" ref="J3:J8" si="2">IF(H3="ALTA",3,IF(H3="MEDIA",2,1))</f>
        <v>3</v>
      </c>
      <c r="K3" s="13">
        <f t="shared" ref="K3:K8" si="3">G3*J3</f>
        <v>9</v>
      </c>
      <c r="L3" s="8" t="s">
        <v>19</v>
      </c>
      <c r="M3" s="8" t="s">
        <v>20</v>
      </c>
    </row>
    <row r="4" ht="22.5" customHeight="1">
      <c r="A4" s="6">
        <v>2.0</v>
      </c>
      <c r="B4" s="7">
        <v>45731.0</v>
      </c>
      <c r="C4" s="8" t="s">
        <v>21</v>
      </c>
      <c r="D4" s="8" t="s">
        <v>22</v>
      </c>
      <c r="E4" s="8" t="s">
        <v>16</v>
      </c>
      <c r="F4" s="8" t="s">
        <v>17</v>
      </c>
      <c r="G4" s="10">
        <f t="shared" si="1"/>
        <v>3</v>
      </c>
      <c r="H4" s="10" t="s">
        <v>17</v>
      </c>
      <c r="I4" s="10" t="s">
        <v>18</v>
      </c>
      <c r="J4" s="12">
        <f t="shared" si="2"/>
        <v>3</v>
      </c>
      <c r="K4" s="13">
        <f t="shared" si="3"/>
        <v>9</v>
      </c>
      <c r="L4" s="8" t="s">
        <v>23</v>
      </c>
      <c r="M4" s="8" t="s">
        <v>24</v>
      </c>
    </row>
    <row r="5" ht="22.5" customHeight="1">
      <c r="A5" s="6">
        <v>3.0</v>
      </c>
      <c r="B5" s="7">
        <v>45731.0</v>
      </c>
      <c r="C5" s="8" t="s">
        <v>25</v>
      </c>
      <c r="D5" s="8" t="s">
        <v>26</v>
      </c>
      <c r="E5" s="8" t="s">
        <v>27</v>
      </c>
      <c r="F5" s="8" t="s">
        <v>28</v>
      </c>
      <c r="G5" s="10">
        <f t="shared" si="1"/>
        <v>2</v>
      </c>
      <c r="H5" s="10" t="s">
        <v>28</v>
      </c>
      <c r="I5" s="10" t="s">
        <v>28</v>
      </c>
      <c r="J5" s="12">
        <f t="shared" si="2"/>
        <v>2</v>
      </c>
      <c r="K5" s="13">
        <f t="shared" si="3"/>
        <v>4</v>
      </c>
      <c r="L5" s="8" t="s">
        <v>29</v>
      </c>
      <c r="M5" s="8" t="s">
        <v>30</v>
      </c>
    </row>
    <row r="6" ht="21.0" customHeight="1">
      <c r="A6" s="6">
        <v>4.0</v>
      </c>
      <c r="B6" s="7">
        <v>45731.0</v>
      </c>
      <c r="C6" s="8" t="s">
        <v>31</v>
      </c>
      <c r="D6" s="8" t="s">
        <v>32</v>
      </c>
      <c r="E6" s="8" t="s">
        <v>16</v>
      </c>
      <c r="F6" s="8" t="s">
        <v>28</v>
      </c>
      <c r="G6" s="10">
        <f t="shared" si="1"/>
        <v>2</v>
      </c>
      <c r="H6" s="10" t="s">
        <v>17</v>
      </c>
      <c r="I6" s="10" t="s">
        <v>18</v>
      </c>
      <c r="J6" s="12">
        <f t="shared" si="2"/>
        <v>3</v>
      </c>
      <c r="K6" s="13">
        <f t="shared" si="3"/>
        <v>6</v>
      </c>
      <c r="L6" s="8" t="s">
        <v>33</v>
      </c>
      <c r="M6" s="8" t="s">
        <v>34</v>
      </c>
    </row>
    <row r="7" ht="21.0" customHeight="1">
      <c r="A7" s="6">
        <v>5.0</v>
      </c>
      <c r="B7" s="7">
        <v>45731.0</v>
      </c>
      <c r="C7" s="8" t="s">
        <v>35</v>
      </c>
      <c r="D7" s="8" t="s">
        <v>36</v>
      </c>
      <c r="E7" s="8" t="s">
        <v>37</v>
      </c>
      <c r="F7" s="8" t="s">
        <v>38</v>
      </c>
      <c r="G7" s="10">
        <f t="shared" si="1"/>
        <v>1</v>
      </c>
      <c r="H7" s="10" t="s">
        <v>17</v>
      </c>
      <c r="I7" s="10" t="s">
        <v>18</v>
      </c>
      <c r="J7" s="6">
        <f t="shared" si="2"/>
        <v>3</v>
      </c>
      <c r="K7" s="13">
        <f t="shared" si="3"/>
        <v>3</v>
      </c>
      <c r="L7" s="8" t="s">
        <v>39</v>
      </c>
      <c r="M7" s="8" t="s">
        <v>40</v>
      </c>
    </row>
    <row r="8" ht="24.0" customHeight="1">
      <c r="A8" s="6">
        <v>6.0</v>
      </c>
      <c r="B8" s="7">
        <v>45731.0</v>
      </c>
      <c r="C8" s="8" t="s">
        <v>41</v>
      </c>
      <c r="D8" s="8" t="s">
        <v>42</v>
      </c>
      <c r="E8" s="8" t="s">
        <v>43</v>
      </c>
      <c r="F8" s="8" t="s">
        <v>38</v>
      </c>
      <c r="G8" s="10">
        <f t="shared" si="1"/>
        <v>1</v>
      </c>
      <c r="H8" s="10" t="s">
        <v>28</v>
      </c>
      <c r="I8" s="10" t="s">
        <v>28</v>
      </c>
      <c r="J8" s="12">
        <f t="shared" si="2"/>
        <v>2</v>
      </c>
      <c r="K8" s="13">
        <f t="shared" si="3"/>
        <v>2</v>
      </c>
      <c r="L8" s="8" t="s">
        <v>44</v>
      </c>
      <c r="M8" s="8" t="s">
        <v>45</v>
      </c>
    </row>
    <row r="9">
      <c r="G9" s="12"/>
    </row>
    <row r="10">
      <c r="B10" s="14" t="s">
        <v>46</v>
      </c>
      <c r="C10" s="15"/>
    </row>
    <row r="11">
      <c r="B11" s="8" t="s">
        <v>47</v>
      </c>
    </row>
    <row r="12">
      <c r="B12" s="8" t="s">
        <v>48</v>
      </c>
    </row>
    <row r="13">
      <c r="B13" s="8" t="s">
        <v>49</v>
      </c>
    </row>
    <row r="14">
      <c r="B14" s="8" t="s">
        <v>50</v>
      </c>
    </row>
  </sheetData>
  <mergeCells count="3">
    <mergeCell ref="A1:E1"/>
    <mergeCell ref="F1:K1"/>
    <mergeCell ref="L1:M1"/>
  </mergeCells>
  <conditionalFormatting sqref="K3:K8">
    <cfRule type="cellIs" dxfId="0" priority="1" operator="greaterThanOrEqual">
      <formula>5</formula>
    </cfRule>
  </conditionalFormatting>
  <conditionalFormatting sqref="K3:K8">
    <cfRule type="cellIs" dxfId="1" priority="2" operator="between">
      <formula>3</formula>
      <formula>4</formula>
    </cfRule>
  </conditionalFormatting>
  <conditionalFormatting sqref="K3:K8">
    <cfRule type="cellIs" dxfId="2" priority="3" operator="lessThan">
      <formula>3</formula>
    </cfRule>
  </conditionalFormatting>
  <drawing r:id="rId1"/>
</worksheet>
</file>